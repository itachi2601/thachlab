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Tóm tắt gói" sheetId="1" state="visible" r:id="rId3"/>
    <sheet name="2. Phần mềm — chi tiết" sheetId="2" state="visible" r:id="rId4"/>
    <sheet name="3. Học liệu — chi tiết" sheetId="3" state="visible" r:id="rId5"/>
    <sheet name="4. Vận hành hằng năm" sheetId="4" state="visible" r:id="rId6"/>
    <sheet name="5. Tham chiếu thị trường" sheetId="5" state="visible" r:id="rId7"/>
    <sheet name="6. Giả định &amp; phạm v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<sst xmlns="http://schemas.openxmlformats.org/spreadsheetml/2006/main" count="171" uniqueCount="163">
  <si>
    <t xml:space="preserve">BẢO GIÁ HỆ THỐNG HỌC TẬP TƯƠNG ĐƯƠNG THACHLAB</t>
  </si>
  <si>
    <t xml:space="preserve">Đơn vị: triệu VND · Tỷ giá tham chiếu 26.000 đ/USD · Lập ngày 05/10/2026 · Hiệu lực 30 ngày</t>
  </si>
  <si>
    <t xml:space="preserve">Gói</t>
  </si>
  <si>
    <t xml:space="preserve">Phạm vi bàn giao</t>
  </si>
  <si>
    <t xml:space="preserve">Thời gian</t>
  </si>
  <si>
    <t xml:space="preserve">Đội</t>
  </si>
  <si>
    <t xml:space="preserve">Giá (triệu VND)</t>
  </si>
  <si>
    <t xml:space="preserve">≈ USD</t>
  </si>
  <si>
    <t xml:space="preserve">Vận hành (triệu/tháng)</t>
  </si>
  <si>
    <t xml:space="preserve">A</t>
  </si>
  <si>
    <t xml:space="preserve">Bản quyền &amp; triển khai (white-label) bản đang chạy: cấp quyền dùng phần mềm hiện có, đổi thương hiệu, cấu hình cho 1 trường, chuyển dữ liệu, đào tạo giáo viên.</t>
  </si>
  <si>
    <t xml:space="preserve">4–6 tuần</t>
  </si>
  <si>
    <t xml:space="preserve">2 người</t>
  </si>
  <si>
    <t xml:space="preserve">250 – 450</t>
  </si>
  <si>
    <t xml:space="preserve">10k – 17k</t>
  </si>
  <si>
    <t xml:space="preserve">4 – 8</t>
  </si>
  <si>
    <t xml:space="preserve">B</t>
  </si>
  <si>
    <t xml:space="preserve">Xây mới phần mềm tương đương (KHÔNG gồm học liệu): 109 bảng · 261 hàm RPC · 59 trang · 232 component · 4 Edge Function · module CNC/xưởng · module lương trợ giảng · gamification 96 danh hiệu.</t>
  </si>
  <si>
    <t xml:space="preserve">7–10 tháng</t>
  </si>
  <si>
    <t xml:space="preserve">5 người</t>
  </si>
  <si>
    <t xml:space="preserve">900 – 1.300</t>
  </si>
  <si>
    <t xml:space="preserve">35k – 50k</t>
  </si>
  <si>
    <t xml:space="preserve">8 – 18</t>
  </si>
  <si>
    <t xml:space="preserve">C</t>
  </si>
  <si>
    <t xml:space="preserve">Hệ thống ĐẦY ĐỦ như ThachLab hôm nay = Gói B + toàn bộ học liệu: 116 bài lý thuyết tương tác, ~300 bộ đề có lời giải, 20.000 câu ngân hàng đã gắn chủ đề/dạng/độ khó, 557 ảnh tối ưu.</t>
  </si>
  <si>
    <t xml:space="preserve">12–18 tháng</t>
  </si>
  <si>
    <t xml:space="preserve">6–8 người + GV cộng tác</t>
  </si>
  <si>
    <t xml:space="preserve">2.000 – 3.900</t>
  </si>
  <si>
    <t xml:space="preserve">77k – 150k</t>
  </si>
  <si>
    <t xml:space="preserve">15 – 40</t>
  </si>
  <si>
    <t xml:space="preserve">D</t>
  </si>
  <si>
    <t xml:space="preserve">Gói C + hoàn thiện lộ trình tới bản 2.0: AI Tutor Socratic, mô phỏng vật lí nhúng thẳng vào bài, tạo đề theo ma trận YCCĐ × độ khó, xuất Word/PDF, đo lường mùa học.</t>
  </si>
  <si>
    <t xml:space="preserve">18–24 tháng</t>
  </si>
  <si>
    <t xml:space="preserve">8 người</t>
  </si>
  <si>
    <t xml:space="preserve">2.400 – 4.500</t>
  </si>
  <si>
    <t xml:space="preserve">92k – 173k</t>
  </si>
  <si>
    <t xml:space="preserve">20 – 55</t>
  </si>
  <si>
    <t xml:space="preserve">Chi phí ThachLab đã thực chi tới nay (tham chiếu, không phải giá bán)</t>
  </si>
  <si>
    <t xml:space="preserve">• Công: 1 người × 3 tháng (03/7 → 05/10/2026), 689 commit — nếu trả theo giá thị trường: 120 – 200 triệu.</t>
  </si>
  <si>
    <t xml:space="preserve">• Tiền mặt: Supabase Pro, AI API, tên miền: ~30 – 60 triệu cho cả 3 tháng (AI nén ngày công 3–5 lần).</t>
  </si>
  <si>
    <t xml:space="preserve">• Tổng chi phí thật: ~150 – 260 triệu. Chênh lệch với giá bán (Gói B–C) chính là giá trị sản phẩm, không phải chi phí.</t>
  </si>
  <si>
    <t xml:space="preserve">CHI TIẾT NGÀY CÔNG PHẦN MỀM (không gồm học liệu)</t>
  </si>
  <si>
    <t xml:space="preserve">Đơn giá 1,4 triệu/người-ngày = mức hỗn hợp junior→senior của đội outsource Việt Nam (2026).</t>
  </si>
  <si>
    <t xml:space="preserve">STT</t>
  </si>
  <si>
    <t xml:space="preserve">Hạng mục</t>
  </si>
  <si>
    <t xml:space="preserve">Ngày công</t>
  </si>
  <si>
    <t xml:space="preserve">Đơn giá</t>
  </si>
  <si>
    <t xml:space="preserve">Thành tiền (triệu)</t>
  </si>
  <si>
    <t xml:space="preserve">Ghi chú</t>
  </si>
  <si>
    <t xml:space="preserve">Kiến trúc, hạ tầng, đăng nhập &amp; phân quyền RLS, build tĩnh + deploy tự động</t>
  </si>
  <si>
    <t xml:space="preserve">Next.js App Router + Supabase; 4 vai trò; xuất tĩnh ra CDN</t>
  </si>
  <si>
    <t xml:space="preserve">Quản trị tài khoản · lớp · khoá học · ghi danh · import danh sách từ Excel</t>
  </si>
  <si>
    <t xml:space="preserve">Phân quyền 3 tầng: quản trị / giảng viên / trợ giảng</t>
  </si>
  <si>
    <t xml:space="preserve">Học liệu: chương · bài · mục, trình soạn LaTeX/KaTeX, ảnh-PDF-video, nháp &amp; xuất bản, nhập từ Word</t>
  </si>
  <si>
    <t xml:space="preserve">Kèm nén ảnh và sinh nội dung tĩnh cho 116 bài</t>
  </si>
  <si>
    <t xml:space="preserve">Đề thi &amp; 3 dạng câu hỏi, chấm điểm, lưu nháp – phục hồi bài làm, chống gian lận, chấm tự luận tay + rubric</t>
  </si>
  <si>
    <t xml:space="preserve">Luồng làm bài trên mobile 375px</t>
  </si>
  <si>
    <t xml:space="preserve">Ngân hàng câu hỏi: AI gắn chủ đề/dạng/độ khó, vẽ hình bằng AI, chống trùng (similarity), công cụ lọc &amp; duyệt</t>
  </si>
  <si>
    <t xml:space="preserve">Đã chạy thật trên 20.372 câu</t>
  </si>
  <si>
    <t xml:space="preserve">Đo lường &amp; mastery: kết quả từng câu, nắm vững theo yêu cầu cần đạt, ma trận chủ đề, cảnh báo học sinh yếu</t>
  </si>
  <si>
    <t xml:space="preserve">Là phần khác biệt cốt lõi: biết HS yếu ở đâu</t>
  </si>
  <si>
    <t xml:space="preserve">Gamification: mùa rank, sổ cái RP, 96 danh hiệu chuyên môn 3 mức, cổng thử thách, bảng tuần, chuỗi ngày</t>
  </si>
  <si>
    <t xml:space="preserve">32 chủ đề × 3 mức + 13 bộ sưu tập</t>
  </si>
  <si>
    <t xml:space="preserve">Phụ đạo khép kín: phát hiện chủ đề hổng → xếp buổi với trợ giảng → bài tự kiểm tra để thoát</t>
  </si>
  <si>
    <t xml:space="preserve">Trợ giảng &amp; lương: phiên làm việc, quy chế, thưởng video theo lượt xem, chốt tháng, nhật ký kiểm toán</t>
  </si>
  <si>
    <t xml:space="preserve">Tự động hoá tính lương trợ giảng</t>
  </si>
  <si>
    <t xml:space="preserve">Module đào tạo nghề (CTTC/CNC): máy &amp; xưởng, điểm danh chọn máy có ảnh, checklist an toàn, rubric, nộp bản vẽ</t>
  </si>
  <si>
    <t xml:space="preserve">25 bảng — đây là phần không LMS nào có sẵn</t>
  </si>
  <si>
    <t xml:space="preserve">Sinh hoạt chủ nhiệm · cổng phụ huynh · thông báo · tin nhắn · bài đăng · blog/tin tức</t>
  </si>
  <si>
    <t xml:space="preserve">Chuẩn hoá UI/UX theo nghiên cứu tâm lý HS 14–18 và phụ huynh 45–60, mobile 375px, khả năng truy cập</t>
  </si>
  <si>
    <t xml:space="preserve">2 bộ quy tắc thiết kế kèm dẫn chứng nghiên cứu</t>
  </si>
  <si>
    <t xml:space="preserve">Mô phỏng vật lí tương tác (4 tab hero + thí nghiệm ảo: ném xiên, thả hàng, giao thoa, con lắc)</t>
  </si>
  <si>
    <t xml:space="preserve">Kiểm thử, tối ưu tốc độ (Lighthouse 68 → 91), smoke test, tài liệu kỹ thuật &amp; sơ đồ 109 bảng</t>
  </si>
  <si>
    <t xml:space="preserve">Quản lý dự án · khảo sát nghiệp vụ với trường · thiết kế giao diện</t>
  </si>
  <si>
    <t xml:space="preserve">CỘNG CHI PHÍ GỐC (người-ngày × đơn giá)</t>
  </si>
  <si>
    <t xml:space="preserve">Giá bán thấp (hệ số 1,35 — lợi nhuận + bảo hành 12 tháng + rủi ro thấp)</t>
  </si>
  <si>
    <t xml:space="preserve">Giá bán cao (hệ số 1,9 — gồm rủi ro phạm vi, hỗ trợ 12 tháng, chuyển giao)</t>
  </si>
  <si>
    <t xml:space="preserve">Cách đọc: nếu thuê ngoài làm lại đúng khối lượng này, khoảng 900 – 1.300 triệu là hợp lý; dưới 700 triệu thì đội làm sẽ phải cắt bớt module (thường cắt CNC, gamification hoặc tối ưu tốc độ trước).</t>
  </si>
  <si>
    <t xml:space="preserve">Nếu dùng AI hỗ trợ như ThachLab đang làm, ngày công thực tế giảm còn ~250–300 người-ngày, nhưng giá bán không giảm tương ứng vì khách trả cho kết quả, không trả cho số giờ gõ phím.</t>
  </si>
  <si>
    <t xml:space="preserve">CHI TIẾT HỌC LIỆU (chiếm hơn nửa giá trị hệ thống đầy đủ)</t>
  </si>
  <si>
    <t xml:space="preserve">Số lượng lấy từ cơ sở dữ liệu production ngày 05/10/2026. Đơn vị: triệu VND.</t>
  </si>
  <si>
    <t xml:space="preserve">Số lượng</t>
  </si>
  <si>
    <t xml:space="preserve">Đơn giá thấp</t>
  </si>
  <si>
    <t xml:space="preserve">Đơn giá cao</t>
  </si>
  <si>
    <t xml:space="preserve">Thành tiền thấp</t>
  </si>
  <si>
    <t xml:space="preserve">Thành tiền cao</t>
  </si>
  <si>
    <t xml:space="preserve">Bài lý thuyết tương tác (soạn mới + quiz 6 đoạn + 2 vòng kiểm chéo + hình)</t>
  </si>
  <si>
    <t xml:space="preserve">Mỗi bài có quiz tương tác, thí nghiệm ảo, chống học vẹt</t>
  </si>
  <si>
    <t xml:space="preserve">Bộ đề kiểm tra / thi thử có lời giải (20–40 câu, gắn chủ đề + độ khó)</t>
  </si>
  <si>
    <t xml:space="preserve">Trong DB đang có 671 đề, gồm cả kiểm tra nhanh lý thuyết</t>
  </si>
  <si>
    <t xml:space="preserve">Câu ngân hàng đã gắn chủ đề · dạng · độ khó · hình vẽ</t>
  </si>
  <si>
    <t xml:space="preserve">25.000 – 60.000 đ/câu cho biên tập + AI + kiểm chéo</t>
  </si>
  <si>
    <t xml:space="preserve">Ảnh và hình vẽ minh hoạ đã nén, tối ưu (webp, ≤1200px)</t>
  </si>
  <si>
    <t xml:space="preserve">Bắt buộc nén trước khi đăng để giữ tốc độ tải</t>
  </si>
  <si>
    <t xml:space="preserve">Hiệu đính chuyên môn theo khối 10–12 (giáo viên Vật lí/Hoá bộ môn)</t>
  </si>
  <si>
    <t xml:space="preserve">Trả theo gói; nếu trả theo buổi: ~600k–1,2 triệu/buổi</t>
  </si>
  <si>
    <t xml:space="preserve">CỘNG HỌC LIỆU</t>
  </si>
  <si>
    <t xml:space="preserve">TỔNG GÓI C — phần mềm + học liệu (thấp)</t>
  </si>
  <si>
    <t xml:space="preserve">TỔNG GÓI C — phần mềm + học liệu (cao)</t>
  </si>
  <si>
    <t xml:space="preserve">Lưu ý: học liệu là tài sản dùng lại được cho nhiều trường — trường thứ 2 trở đi chỉ trả phần cấu hình, không trả lại tiền nội dung.</t>
  </si>
  <si>
    <t xml:space="preserve">Khoản chi</t>
  </si>
  <si>
    <t xml:space="preserve">Thấp (triệu/tháng)</t>
  </si>
  <si>
    <t xml:space="preserve">Cao (triệu/tháng)</t>
  </si>
  <si>
    <t xml:space="preserve">Thấp (triệu/năm)</t>
  </si>
  <si>
    <t xml:space="preserve">Cao (triệu/năm)</t>
  </si>
  <si>
    <t xml:space="preserve">Hạ tầng Supabase Pro (Singapore) + storage ảnh/PDF</t>
  </si>
  <si>
    <t xml:space="preserve">0,65 triệu ≈ 25 USD/tháng; tăng khi ảnh và bài làm nhiều</t>
  </si>
  <si>
    <t xml:space="preserve">API AI (soạn đề, gắn độ khó, vẽ hình, AI Tutor sau này)</t>
  </si>
  <si>
    <t xml:space="preserve">ThachLab đang dùng DeepSeek — rẻ hơn Claude/GPT cùng khối lượng</t>
  </si>
  <si>
    <t xml:space="preserve">Tên miền + CDN/hosting tĩnh (bản build tĩnh rất nhẹ)</t>
  </si>
  <si>
    <t xml:space="preserve">Bảo trì &amp; nâng cấp (12–18%/năm giá trị phần mềm ~1 tỷ)</t>
  </si>
  <si>
    <t xml:space="preserve">Sửa lỗi, cập nhật Next.js/Supabase, sao lưu, giám sát</t>
  </si>
  <si>
    <t xml:space="preserve">Vận hành nội dung &amp; hỗ trợ người dùng (đăng bài, kiểm đề, trả lời GV/PH)</t>
  </si>
  <si>
    <t xml:space="preserve">Có thể dùng chính giáo viên/trợ giảng của trường để giảm chi phí</t>
  </si>
  <si>
    <t xml:space="preserve">TỔNG VẬN HÀNH</t>
  </si>
  <si>
    <t xml:space="preserve">Chi phí một lần khi khởi động</t>
  </si>
  <si>
    <t xml:space="preserve">Thấp (triệu)</t>
  </si>
  <si>
    <t xml:space="preserve">Cao (triệu)</t>
  </si>
  <si>
    <t xml:space="preserve">Khảo sát nghiệp vụ, chuyển dữ liệu học sinh cũ, cấu hình trường</t>
  </si>
  <si>
    <t xml:space="preserve">1 lần</t>
  </si>
  <si>
    <t xml:space="preserve">Đào tạo giáo viên &amp; trợ giảng (2–3 buổi + tài liệu)</t>
  </si>
  <si>
    <t xml:space="preserve">Kiểm toán bảo mật RLS &amp; sao lưu dữ liệu (khuyến nghị bắt buộc)</t>
  </si>
  <si>
    <t xml:space="preserve">Hệ thống có 109 bảng và 261 hàm — nên rà trước khi mở cho phụ huynh</t>
  </si>
  <si>
    <t xml:space="preserve">Mô hình thuê bao thay thế (nếu không bán đứt): 15.000 – 25.000 đ/học sinh/tháng, tối thiểu 3–5 triệu/tháng/trường.</t>
  </si>
  <si>
    <t xml:space="preserve">Phương án</t>
  </si>
  <si>
    <t xml:space="preserve">Chi phí</t>
  </si>
  <si>
    <t xml:space="preserve">Có gì / thiếu gì</t>
  </si>
  <si>
    <t xml:space="preserve">Thuê LMS nước ngoài (Canvas, MoodleCloud, Google Classroom + add-on)</t>
  </si>
  <si>
    <t xml:space="preserve">30.000 – 120.000 đ/HS/năm
(1.000 HS ≈ 30–120 triệu/năm)</t>
  </si>
  <si>
    <t xml:space="preserve">Đủ để giao bài và chấm trắc nghiệm. THIẾU: nắm vững theo yêu cầu cần đạt, gamification 96 danh hiệu, phụ đạo khép kín, module xưởng CNC + điểm danh chọn máy, lương trợ giảng, cổng phụ huynh theo chuẩn tuổi 45–60.</t>
  </si>
  <si>
    <t xml:space="preserve">Thuê đội outsource Việt Nam làm LMS may đo (mức cơ bản)</t>
  </si>
  <si>
    <t xml:space="preserve">600 – 1.500 triệu
6–9 tháng</t>
  </si>
  <si>
    <t xml:space="preserve">Có tài khoản, lớp, đề, chấm điểm. Thường KHÔNG có: đo lường theo chủ đề, gamification nhiều mùa, module nghề/xưởng, và không ai tối ưu tốc độ tới Lighthouse 91.</t>
  </si>
  <si>
    <t xml:space="preserve">Hệ thống quản lý đào tạo nghề + ERP xưởng (riêng module CNC)</t>
  </si>
  <si>
    <t xml:space="preserve">500 – 2.000 triệu</t>
  </si>
  <si>
    <t xml:space="preserve">Điểm danh, checklist an toàn, rubric, quản lý máy. Không có phần học tập THPT và động lực học sinh.</t>
  </si>
  <si>
    <t xml:space="preserve">Mua lại bản quyền ThachLab + triển khai (Gói A)</t>
  </si>
  <si>
    <t xml:space="preserve">250 – 450 triệu + 4–8 triệu/tháng</t>
  </si>
  <si>
    <t xml:space="preserve">Dùng ngay bản đã chạy thật với 416 tài khoản, 671 đề, 20.372 câu hỏi. Rủi ro thấp nhất, có ngay trong 4–6 tuần.</t>
  </si>
  <si>
    <t xml:space="preserve">Xây mới hoàn toàn tương đương (Gói C)</t>
  </si>
  <si>
    <t xml:space="preserve">2.000 – 3.900 triệu
12–18 tháng</t>
  </si>
  <si>
    <t xml:space="preserve">Sở hữu mã nguồn và học liệu. Đây là giá của việc đi lại toàn bộ 3 tháng ròng rã của ThachLab bằng một đội 6–8 người.</t>
  </si>
  <si>
    <t xml:space="preserve">Nhóm</t>
  </si>
  <si>
    <t xml:space="preserve">Nội dung</t>
  </si>
  <si>
    <t xml:space="preserve">Căn cứ định giá</t>
  </si>
  <si>
    <t xml:space="preserve">Số liệu lấy trực tiếp từ mã nguồn và cơ sở dữ liệu production ngày 05/10/2026: 108.298 dòng mã (TS/TSX/SQL/script), 26.030 dòng SQL, 109 bảng, 261 hàm RPC, 59 trang, 232 component, 4 Edge Function, 689 commit trong 3 tháng.</t>
  </si>
  <si>
    <t xml:space="preserve">Dữ liệu thật đang chạy</t>
  </si>
  <si>
    <t xml:space="preserve">416 tài khoản, 126 bài học / 268 mục, 671 đề, 20.372 câu ngân hàng, 17.366 kết quả từng câu, 112 ghi danh khoá học, 92 máy CNC.</t>
  </si>
  <si>
    <t xml:space="preserve">1,4 triệu/người-ngày là mức hỗn hợp của đội 5 người (2 senior, 2 mid, 1 junior) tại Việt Nam 2026, đã gồm BHXH, quản lý và thiết bị. Agency tính 1,8–2,5 triệu/ngày thì giá cao hơn 25–40%.</t>
  </si>
  <si>
    <t xml:space="preserve">Tỷ giá</t>
  </si>
  <si>
    <t xml:space="preserve">26.000 đ/USD. Giá đã gồm VAT? — CHƯA. Cộng thêm 8–10% nếu xuất hoá đơn.</t>
  </si>
  <si>
    <t xml:space="preserve">Đã bao gồm</t>
  </si>
  <si>
    <t xml:space="preserve">Mã nguồn bàn giao, tài liệu kỹ thuật, cơ sở dữ liệu, sao lưu, bảo hành sửa lỗi 12 tháng, đào tạo 2–3 buổi, hỗ trợ go-live.</t>
  </si>
  <si>
    <t xml:space="preserve">KHÔNG bao gồm</t>
  </si>
  <si>
    <t xml:space="preserve">Tiền mua học liệu bản quyền của nhà xuất bản; chi phí máy chủ/API hằng tháng; thiết bị vân tay/máy quét điểm danh; nhân sự vận hành nội dung; tích hợp AZOTA hoặc hệ thống tài chính của trường (báo giá riêng 40–120 triệu/tích hợp).</t>
  </si>
  <si>
    <t xml:space="preserve">Rủi ro đã tính vào giá cao</t>
  </si>
  <si>
    <t xml:space="preserve">Phạm vi thay đổi giữa chừng, dữ liệu cũ bẩn khi chuyển đổi, yêu cầu đặc thù của từng trường, thời gian chờ giáo viên duyệt học liệu.</t>
  </si>
  <si>
    <t xml:space="preserve">Rủi ro CHƯA được xử lý trong hệ thống hiện tại</t>
  </si>
  <si>
    <t xml:space="preserve">Chưa có kiểm thử tự động cho 109 bảng/261 hàm; phần RLS cần được kiểm toán riêng trước khi mở rộng; hiệu quả sư phạm của gamification chưa được đo bằng dữ liệu mùa học — chính ROADMAP của ThachLab cũng ghi đây là việc số 1.</t>
  </si>
  <si>
    <t xml:space="preserve">Điều kiện thanh toán đề xuất</t>
  </si>
  <si>
    <t xml:space="preserve">30% tạm ứng khi ký · 30% khi nghiệm thu module lõi · 30% khi go-live · 10% sau 30 ngày chạy thật. Gói A: 50% / 50%.</t>
  </si>
  <si>
    <t xml:space="preserve">Hiệu lực</t>
  </si>
  <si>
    <t xml:space="preserve">30 ngày kể từ 05/10/2026. Giá thay đổi nếu phạm vi, số trường hoặc số học sinh thay đổi.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</si>
</sst>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1F386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61.5" hidden="false" customHeight="tru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customFormat="false" ht="61.5" hidden="false" customHeight="true" outlineLevel="0" collapsed="false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customFormat="false" ht="61.5" hidden="false" customHeight="true" outlineLevel="0" collapsed="false">
      <c r="A7" s="4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</row>
    <row r="8" customFormat="false" ht="61.5" hidden="false" customHeight="tru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</row>
    <row r="10" customFormat="false" ht="15" hidden="false" customHeight="false" outlineLevel="0" collapsed="false">
      <c r="A10" s="6" t="s">
        <v>37</v>
      </c>
    </row>
    <row r="11" customFormat="false" ht="15.75" hidden="false" customHeight="true" outlineLevel="0" collapsed="false">
      <c r="A11" s="7" t="s">
        <v>38</v>
      </c>
      <c r="B11" s="7"/>
      <c r="C11" s="7"/>
      <c r="D11" s="7"/>
      <c r="E11" s="7"/>
      <c r="F11" s="7"/>
      <c r="G11" s="7"/>
    </row>
    <row r="12" customFormat="false" ht="15.75" hidden="false" customHeight="true" outlineLevel="0" collapsed="false">
      <c r="A12" s="7" t="s">
        <v>39</v>
      </c>
      <c r="B12" s="7"/>
      <c r="C12" s="7"/>
      <c r="D12" s="7"/>
      <c r="E12" s="7"/>
      <c r="F12" s="7"/>
      <c r="G12" s="7"/>
    </row>
    <row r="13" customFormat="false" ht="15.75" hidden="false" customHeight="true" outlineLevel="0" collapsed="false">
      <c r="A13" s="7" t="s">
        <v>40</v>
      </c>
      <c r="B13" s="7"/>
      <c r="C13" s="7"/>
      <c r="D13" s="7"/>
      <c r="E13" s="7"/>
      <c r="F13" s="7"/>
      <c r="G13" s="7"/>
    </row>
  </sheetData>
  <mergeCells count="3">
    <mergeCell ref="A11:G11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8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customFormat="false" ht="27.75" hidden="false" customHeight="true" outlineLevel="0" collapsed="false">
      <c r="A5" s="9" t="n">
        <v>1</v>
      </c>
      <c r="B5" s="5" t="s">
        <v>49</v>
      </c>
      <c r="C5" s="10" t="n">
        <v>30</v>
      </c>
      <c r="D5" s="11" t="n">
        <v>1.4</v>
      </c>
      <c r="E5" s="5" t="n">
        <f aca="false">C5*D5</f>
        <v>42</v>
      </c>
      <c r="F5" s="5" t="s">
        <v>50</v>
      </c>
    </row>
    <row r="6" customFormat="false" ht="27.75" hidden="false" customHeight="true" outlineLevel="0" collapsed="false">
      <c r="A6" s="9" t="n">
        <v>2</v>
      </c>
      <c r="B6" s="5" t="s">
        <v>51</v>
      </c>
      <c r="C6" s="10" t="n">
        <v>25</v>
      </c>
      <c r="D6" s="11" t="n">
        <v>1.4</v>
      </c>
      <c r="E6" s="5" t="n">
        <f aca="false">C6*D6</f>
        <v>35</v>
      </c>
      <c r="F6" s="5" t="s">
        <v>52</v>
      </c>
    </row>
    <row r="7" customFormat="false" ht="27.75" hidden="false" customHeight="true" outlineLevel="0" collapsed="false">
      <c r="A7" s="9" t="n">
        <v>3</v>
      </c>
      <c r="B7" s="5" t="s">
        <v>53</v>
      </c>
      <c r="C7" s="10" t="n">
        <v>40</v>
      </c>
      <c r="D7" s="11" t="n">
        <v>1.4</v>
      </c>
      <c r="E7" s="5" t="n">
        <f aca="false">C7*D7</f>
        <v>56</v>
      </c>
      <c r="F7" s="5" t="s">
        <v>54</v>
      </c>
    </row>
    <row r="8" customFormat="false" ht="27.75" hidden="false" customHeight="true" outlineLevel="0" collapsed="false">
      <c r="A8" s="9" t="n">
        <v>4</v>
      </c>
      <c r="B8" s="5" t="s">
        <v>55</v>
      </c>
      <c r="C8" s="10" t="n">
        <v>55</v>
      </c>
      <c r="D8" s="11" t="n">
        <v>1.4</v>
      </c>
      <c r="E8" s="5" t="n">
        <f aca="false">C8*D8</f>
        <v>77</v>
      </c>
      <c r="F8" s="5" t="s">
        <v>56</v>
      </c>
    </row>
    <row r="9" customFormat="false" ht="27.75" hidden="false" customHeight="true" outlineLevel="0" collapsed="false">
      <c r="A9" s="9" t="n">
        <v>5</v>
      </c>
      <c r="B9" s="5" t="s">
        <v>57</v>
      </c>
      <c r="C9" s="10" t="n">
        <v>25</v>
      </c>
      <c r="D9" s="11" t="n">
        <v>1.4</v>
      </c>
      <c r="E9" s="5" t="n">
        <f aca="false">C9*D9</f>
        <v>35</v>
      </c>
      <c r="F9" s="5" t="s">
        <v>58</v>
      </c>
    </row>
    <row r="10" customFormat="false" ht="27.75" hidden="false" customHeight="true" outlineLevel="0" collapsed="false">
      <c r="A10" s="9" t="n">
        <v>6</v>
      </c>
      <c r="B10" s="5" t="s">
        <v>59</v>
      </c>
      <c r="C10" s="10" t="n">
        <v>30</v>
      </c>
      <c r="D10" s="11" t="n">
        <v>1.4</v>
      </c>
      <c r="E10" s="5" t="n">
        <f aca="false">C10*D10</f>
        <v>42</v>
      </c>
      <c r="F10" s="5" t="s">
        <v>60</v>
      </c>
    </row>
    <row r="11" customFormat="false" ht="27.75" hidden="false" customHeight="true" outlineLevel="0" collapsed="false">
      <c r="A11" s="9" t="n">
        <v>7</v>
      </c>
      <c r="B11" s="5" t="s">
        <v>61</v>
      </c>
      <c r="C11" s="10" t="n">
        <v>40</v>
      </c>
      <c r="D11" s="11" t="n">
        <v>1.4</v>
      </c>
      <c r="E11" s="5" t="n">
        <f aca="false">C11*D11</f>
        <v>56</v>
      </c>
      <c r="F11" s="5" t="s">
        <v>62</v>
      </c>
    </row>
    <row r="12" customFormat="false" ht="27.75" hidden="false" customHeight="true" outlineLevel="0" collapsed="false">
      <c r="A12" s="9" t="n">
        <v>8</v>
      </c>
      <c r="B12" s="5" t="s">
        <v>63</v>
      </c>
      <c r="C12" s="10" t="n">
        <v>20</v>
      </c>
      <c r="D12" s="11" t="n">
        <v>1.4</v>
      </c>
      <c r="E12" s="5" t="n">
        <f aca="false">C12*D12</f>
        <v>28</v>
      </c>
      <c r="F12" s="5"/>
    </row>
    <row r="13" customFormat="false" ht="27.75" hidden="false" customHeight="true" outlineLevel="0" collapsed="false">
      <c r="A13" s="9" t="n">
        <v>9</v>
      </c>
      <c r="B13" s="5" t="s">
        <v>64</v>
      </c>
      <c r="C13" s="10" t="n">
        <v>22</v>
      </c>
      <c r="D13" s="11" t="n">
        <v>1.4</v>
      </c>
      <c r="E13" s="5" t="n">
        <f aca="false">C13*D13</f>
        <v>30.8</v>
      </c>
      <c r="F13" s="5" t="s">
        <v>65</v>
      </c>
    </row>
    <row r="14" customFormat="false" ht="27.75" hidden="false" customHeight="true" outlineLevel="0" collapsed="false">
      <c r="A14" s="9" t="n">
        <v>10</v>
      </c>
      <c r="B14" s="5" t="s">
        <v>66</v>
      </c>
      <c r="C14" s="10" t="n">
        <v>50</v>
      </c>
      <c r="D14" s="11" t="n">
        <v>1.4</v>
      </c>
      <c r="E14" s="5" t="n">
        <f aca="false">C14*D14</f>
        <v>70</v>
      </c>
      <c r="F14" s="5" t="s">
        <v>67</v>
      </c>
    </row>
    <row r="15" customFormat="false" ht="27.75" hidden="false" customHeight="true" outlineLevel="0" collapsed="false">
      <c r="A15" s="9" t="n">
        <v>11</v>
      </c>
      <c r="B15" s="5" t="s">
        <v>68</v>
      </c>
      <c r="C15" s="10" t="n">
        <v>28</v>
      </c>
      <c r="D15" s="11" t="n">
        <v>1.4</v>
      </c>
      <c r="E15" s="5" t="n">
        <f aca="false">C15*D15</f>
        <v>39.2</v>
      </c>
      <c r="F15" s="5"/>
    </row>
    <row r="16" customFormat="false" ht="27.75" hidden="false" customHeight="true" outlineLevel="0" collapsed="false">
      <c r="A16" s="9" t="n">
        <v>12</v>
      </c>
      <c r="B16" s="5" t="s">
        <v>69</v>
      </c>
      <c r="C16" s="10" t="n">
        <v>25</v>
      </c>
      <c r="D16" s="11" t="n">
        <v>1.4</v>
      </c>
      <c r="E16" s="5" t="n">
        <f aca="false">C16*D16</f>
        <v>35</v>
      </c>
      <c r="F16" s="5" t="s">
        <v>70</v>
      </c>
    </row>
    <row r="17" customFormat="false" ht="27.75" hidden="false" customHeight="true" outlineLevel="0" collapsed="false">
      <c r="A17" s="9" t="n">
        <v>13</v>
      </c>
      <c r="B17" s="5" t="s">
        <v>71</v>
      </c>
      <c r="C17" s="10" t="n">
        <v>20</v>
      </c>
      <c r="D17" s="11" t="n">
        <v>1.4</v>
      </c>
      <c r="E17" s="5" t="n">
        <f aca="false">C17*D17</f>
        <v>28</v>
      </c>
      <c r="F17" s="5"/>
    </row>
    <row r="18" customFormat="false" ht="27.75" hidden="false" customHeight="true" outlineLevel="0" collapsed="false">
      <c r="A18" s="9" t="n">
        <v>14</v>
      </c>
      <c r="B18" s="5" t="s">
        <v>72</v>
      </c>
      <c r="C18" s="10" t="n">
        <v>30</v>
      </c>
      <c r="D18" s="11" t="n">
        <v>1.4</v>
      </c>
      <c r="E18" s="5" t="n">
        <f aca="false">C18*D18</f>
        <v>42</v>
      </c>
      <c r="F18" s="5"/>
    </row>
    <row r="19" customFormat="false" ht="27.75" hidden="false" customHeight="true" outlineLevel="0" collapsed="false">
      <c r="A19" s="9" t="n">
        <v>15</v>
      </c>
      <c r="B19" s="5" t="s">
        <v>73</v>
      </c>
      <c r="C19" s="10" t="n">
        <v>25</v>
      </c>
      <c r="D19" s="11" t="n">
        <v>1.4</v>
      </c>
      <c r="E19" s="5" t="n">
        <f aca="false">C19*D19</f>
        <v>35</v>
      </c>
      <c r="F19" s="5"/>
    </row>
    <row r="20" customFormat="false" ht="15" hidden="false" customHeight="false" outlineLevel="0" collapsed="false">
      <c r="A20" s="12"/>
      <c r="B20" s="13" t="s">
        <v>74</v>
      </c>
      <c r="C20" s="13" t="n">
        <f aca="false">SUM(C5:C19)</f>
        <v>465</v>
      </c>
      <c r="D20" s="13"/>
      <c r="E20" s="13" t="n">
        <f aca="false">SUM(E5:E19)</f>
        <v>651</v>
      </c>
      <c r="F20" s="13"/>
    </row>
    <row r="22" customFormat="false" ht="25.35" hidden="false" customHeight="false" outlineLevel="0" collapsed="false">
      <c r="A22" s="14"/>
      <c r="B22" s="15" t="s">
        <v>75</v>
      </c>
      <c r="C22" s="15"/>
      <c r="D22" s="15"/>
      <c r="E22" s="15" t="n">
        <f aca="false">E20*1.35</f>
        <v>878.85</v>
      </c>
      <c r="F22" s="15"/>
    </row>
    <row r="23" customFormat="false" ht="25.35" hidden="false" customHeight="false" outlineLevel="0" collapsed="false">
      <c r="A23" s="14"/>
      <c r="B23" s="15" t="s">
        <v>76</v>
      </c>
      <c r="C23" s="15"/>
      <c r="D23" s="15"/>
      <c r="E23" s="15" t="n">
        <f aca="false">E20*1.9</f>
        <v>1236.9</v>
      </c>
      <c r="F23" s="15"/>
    </row>
    <row r="25" customFormat="false" ht="28.35" hidden="false" customHeight="true" outlineLevel="0" collapsed="false">
      <c r="A25" s="7" t="s">
        <v>77</v>
      </c>
      <c r="B25" s="7"/>
      <c r="C25" s="7"/>
      <c r="D25" s="7"/>
      <c r="E25" s="7"/>
      <c r="F25" s="7"/>
    </row>
    <row r="26" customFormat="false" ht="28.35" hidden="false" customHeight="true" outlineLevel="0" collapsed="false">
      <c r="A26" s="7" t="s">
        <v>78</v>
      </c>
      <c r="B26" s="7"/>
      <c r="C26" s="7"/>
      <c r="D26" s="7"/>
      <c r="E26" s="7"/>
      <c r="F26" s="7"/>
    </row>
  </sheetData>
  <mergeCells count="2"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8" t="s">
        <v>79</v>
      </c>
    </row>
    <row r="2" customFormat="false" ht="15" hidden="false" customHeight="false" outlineLevel="0" collapsed="false">
      <c r="A2" s="2" t="s">
        <v>80</v>
      </c>
    </row>
    <row r="4" customFormat="false" ht="31.5" hidden="false" customHeight="true" outlineLevel="0" collapsed="false">
      <c r="A4" s="3" t="s">
        <v>43</v>
      </c>
      <c r="B4" s="3" t="s">
        <v>44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48</v>
      </c>
    </row>
    <row r="5" customFormat="false" ht="30" hidden="false" customHeight="true" outlineLevel="0" collapsed="false">
      <c r="A5" s="9" t="n">
        <v>1</v>
      </c>
      <c r="B5" s="5" t="s">
        <v>86</v>
      </c>
      <c r="C5" s="16" t="n">
        <v>116</v>
      </c>
      <c r="D5" s="17" t="n">
        <v>3</v>
      </c>
      <c r="E5" s="17" t="n">
        <v>6</v>
      </c>
      <c r="F5" s="5" t="n">
        <f aca="false">C5*D5</f>
        <v>348</v>
      </c>
      <c r="G5" s="5" t="n">
        <f aca="false">C5*E5</f>
        <v>696</v>
      </c>
      <c r="H5" s="5" t="s">
        <v>87</v>
      </c>
    </row>
    <row r="6" customFormat="false" ht="30" hidden="false" customHeight="true" outlineLevel="0" collapsed="false">
      <c r="A6" s="9" t="n">
        <v>2</v>
      </c>
      <c r="B6" s="5" t="s">
        <v>88</v>
      </c>
      <c r="C6" s="16" t="n">
        <v>300</v>
      </c>
      <c r="D6" s="17" t="n">
        <v>0.5</v>
      </c>
      <c r="E6" s="17" t="n">
        <v>1.5</v>
      </c>
      <c r="F6" s="5" t="n">
        <f aca="false">C6*D6</f>
        <v>150</v>
      </c>
      <c r="G6" s="5" t="n">
        <f aca="false">C6*E6</f>
        <v>450</v>
      </c>
      <c r="H6" s="5" t="s">
        <v>89</v>
      </c>
    </row>
    <row r="7" customFormat="false" ht="30" hidden="false" customHeight="true" outlineLevel="0" collapsed="false">
      <c r="A7" s="9" t="n">
        <v>3</v>
      </c>
      <c r="B7" s="5" t="s">
        <v>90</v>
      </c>
      <c r="C7" s="16" t="n">
        <v>20000</v>
      </c>
      <c r="D7" s="17" t="n">
        <v>0.025</v>
      </c>
      <c r="E7" s="17" t="n">
        <v>0.06</v>
      </c>
      <c r="F7" s="5" t="n">
        <f aca="false">C7*D7</f>
        <v>500</v>
      </c>
      <c r="G7" s="5" t="n">
        <f aca="false">C7*E7</f>
        <v>1200</v>
      </c>
      <c r="H7" s="5" t="s">
        <v>91</v>
      </c>
    </row>
    <row r="8" customFormat="false" ht="30" hidden="false" customHeight="true" outlineLevel="0" collapsed="false">
      <c r="A8" s="9" t="n">
        <v>4</v>
      </c>
      <c r="B8" s="5" t="s">
        <v>92</v>
      </c>
      <c r="C8" s="16" t="n">
        <v>557</v>
      </c>
      <c r="D8" s="17" t="n">
        <v>0.09</v>
      </c>
      <c r="E8" s="17" t="n">
        <v>0.22</v>
      </c>
      <c r="F8" s="5" t="n">
        <f aca="false">C8*D8</f>
        <v>50.13</v>
      </c>
      <c r="G8" s="5" t="n">
        <f aca="false">C8*E8</f>
        <v>122.54</v>
      </c>
      <c r="H8" s="5" t="s">
        <v>93</v>
      </c>
    </row>
    <row r="9" customFormat="false" ht="30" hidden="false" customHeight="true" outlineLevel="0" collapsed="false">
      <c r="A9" s="9" t="n">
        <v>5</v>
      </c>
      <c r="B9" s="5" t="s">
        <v>94</v>
      </c>
      <c r="C9" s="16" t="n">
        <v>1</v>
      </c>
      <c r="D9" s="17" t="n">
        <v>100</v>
      </c>
      <c r="E9" s="17" t="n">
        <v>200</v>
      </c>
      <c r="F9" s="5" t="n">
        <f aca="false">C9*D9</f>
        <v>100</v>
      </c>
      <c r="G9" s="5" t="n">
        <f aca="false">C9*E9</f>
        <v>200</v>
      </c>
      <c r="H9" s="5" t="s">
        <v>95</v>
      </c>
    </row>
    <row r="10" customFormat="false" ht="15" hidden="false" customHeight="false" outlineLevel="0" collapsed="false">
      <c r="A10" s="12"/>
      <c r="B10" s="13" t="s">
        <v>96</v>
      </c>
      <c r="C10" s="13"/>
      <c r="D10" s="13"/>
      <c r="E10" s="13"/>
      <c r="F10" s="13" t="n">
        <f aca="false">SUM(F5:F9)</f>
        <v>1148.13</v>
      </c>
      <c r="G10" s="13" t="n">
        <f aca="false">SUM(G5:G9)</f>
        <v>2668.54</v>
      </c>
      <c r="H10" s="13"/>
    </row>
    <row r="12" customFormat="false" ht="25.35" hidden="false" customHeight="false" outlineLevel="0" collapsed="false">
      <c r="A12" s="12"/>
      <c r="B12" s="13" t="s">
        <v>97</v>
      </c>
      <c r="C12" s="13"/>
      <c r="D12" s="13"/>
      <c r="E12" s="13"/>
      <c r="F12" s="13" t="n">
        <f aca="false">'2. Phần mềm — chi tiết'!E20*1.35+F10</f>
        <v>2026.98</v>
      </c>
      <c r="G12" s="13"/>
      <c r="H12" s="13"/>
    </row>
    <row r="13" customFormat="false" ht="15" hidden="false" customHeight="false" outlineLevel="0" collapsed="false">
      <c r="A13" s="12"/>
      <c r="B13" s="13" t="s">
        <v>98</v>
      </c>
      <c r="C13" s="13"/>
      <c r="D13" s="13"/>
      <c r="E13" s="13"/>
      <c r="F13" s="13" t="n">
        <f aca="false">'2. Phần mềm — chi tiết'!E20*1.9+G10</f>
        <v>3905.44</v>
      </c>
      <c r="G13" s="13"/>
      <c r="H13" s="13"/>
    </row>
    <row r="15" customFormat="false" ht="15" hidden="false" customHeight="true" outlineLevel="0" collapsed="false">
      <c r="A15" s="7" t="s">
        <v>99</v>
      </c>
      <c r="B15" s="7"/>
      <c r="C15" s="7"/>
      <c r="D15" s="7"/>
      <c r="E15" s="7"/>
      <c r="F15" s="7"/>
      <c r="G15" s="7"/>
      <c r="H15" s="7"/>
    </row>
  </sheetData>
  <mergeCells count="1"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56"/>
  </cols>
  <sheetData>
    <row r="2" customFormat="false" ht="31.5" hidden="false" customHeight="true" outlineLevel="0" collapsed="false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48</v>
      </c>
    </row>
    <row r="3" customFormat="false" ht="27.75" hidden="false" customHeight="true" outlineLevel="0" collapsed="false">
      <c r="A3" s="4" t="s">
        <v>105</v>
      </c>
      <c r="B3" s="5" t="n">
        <v>0.65</v>
      </c>
      <c r="C3" s="11" t="n">
        <v>3</v>
      </c>
      <c r="D3" s="5" t="n">
        <f aca="false">B3*12</f>
        <v>7.8</v>
      </c>
      <c r="E3" s="5" t="n">
        <f aca="false">C3*12</f>
        <v>36</v>
      </c>
      <c r="F3" s="5" t="s">
        <v>106</v>
      </c>
    </row>
    <row r="4" customFormat="false" ht="27.75" hidden="false" customHeight="true" outlineLevel="0" collapsed="false">
      <c r="A4" s="4" t="s">
        <v>107</v>
      </c>
      <c r="B4" s="5" t="n">
        <v>1</v>
      </c>
      <c r="C4" s="11" t="n">
        <v>8</v>
      </c>
      <c r="D4" s="5" t="n">
        <f aca="false">B4*12</f>
        <v>12</v>
      </c>
      <c r="E4" s="5" t="n">
        <f aca="false">C4*12</f>
        <v>96</v>
      </c>
      <c r="F4" s="5" t="s">
        <v>108</v>
      </c>
    </row>
    <row r="5" customFormat="false" ht="27.75" hidden="false" customHeight="true" outlineLevel="0" collapsed="false">
      <c r="A5" s="4" t="s">
        <v>109</v>
      </c>
      <c r="B5" s="5" t="n">
        <v>0.1</v>
      </c>
      <c r="C5" s="11" t="n">
        <v>0.5</v>
      </c>
      <c r="D5" s="5" t="n">
        <f aca="false">B5*12</f>
        <v>1.2</v>
      </c>
      <c r="E5" s="5" t="n">
        <f aca="false">C5*12</f>
        <v>6</v>
      </c>
      <c r="F5" s="5"/>
    </row>
    <row r="6" customFormat="false" ht="27.75" hidden="false" customHeight="true" outlineLevel="0" collapsed="false">
      <c r="A6" s="4" t="s">
        <v>110</v>
      </c>
      <c r="B6" s="5" t="n">
        <v>10</v>
      </c>
      <c r="C6" s="11" t="n">
        <v>15</v>
      </c>
      <c r="D6" s="5" t="n">
        <f aca="false">B6*12</f>
        <v>120</v>
      </c>
      <c r="E6" s="5" t="n">
        <f aca="false">C6*12</f>
        <v>180</v>
      </c>
      <c r="F6" s="5" t="s">
        <v>111</v>
      </c>
    </row>
    <row r="7" customFormat="false" ht="27.75" hidden="false" customHeight="true" outlineLevel="0" collapsed="false">
      <c r="A7" s="4" t="s">
        <v>112</v>
      </c>
      <c r="B7" s="5" t="n">
        <v>5</v>
      </c>
      <c r="C7" s="11" t="n">
        <v>15</v>
      </c>
      <c r="D7" s="5" t="n">
        <f aca="false">B7*12</f>
        <v>60</v>
      </c>
      <c r="E7" s="5" t="n">
        <f aca="false">C7*12</f>
        <v>180</v>
      </c>
      <c r="F7" s="5" t="s">
        <v>113</v>
      </c>
    </row>
    <row r="8" customFormat="false" ht="15" hidden="false" customHeight="false" outlineLevel="0" collapsed="false">
      <c r="A8" s="12" t="s">
        <v>114</v>
      </c>
      <c r="B8" s="13" t="n">
        <f aca="false">SUM(B3:B7)</f>
        <v>16.75</v>
      </c>
      <c r="C8" s="13" t="n">
        <f aca="false">SUM(C3:C7)</f>
        <v>41.5</v>
      </c>
      <c r="D8" s="13" t="n">
        <f aca="false">SUM(D3:D7)</f>
        <v>201</v>
      </c>
      <c r="E8" s="13" t="n">
        <f aca="false">SUM(E3:E7)</f>
        <v>498</v>
      </c>
      <c r="F8" s="13"/>
    </row>
    <row r="10" customFormat="false" ht="15" hidden="false" customHeight="false" outlineLevel="0" collapsed="false">
      <c r="A10" s="6" t="s">
        <v>115</v>
      </c>
    </row>
    <row r="11" customFormat="false" ht="31.5" hidden="false" customHeight="true" outlineLevel="0" collapsed="false">
      <c r="A11" s="3" t="s">
        <v>44</v>
      </c>
      <c r="B11" s="3" t="s">
        <v>116</v>
      </c>
      <c r="C11" s="3" t="s">
        <v>117</v>
      </c>
      <c r="D11" s="3"/>
      <c r="E11" s="3"/>
      <c r="F11" s="3" t="s">
        <v>48</v>
      </c>
    </row>
    <row r="12" customFormat="false" ht="15" hidden="false" customHeight="false" outlineLevel="0" collapsed="false">
      <c r="A12" s="4" t="s">
        <v>118</v>
      </c>
      <c r="B12" s="5" t="n">
        <v>30</v>
      </c>
      <c r="C12" s="10" t="n">
        <v>80</v>
      </c>
      <c r="D12" s="5"/>
      <c r="E12" s="5"/>
      <c r="F12" s="5" t="s">
        <v>119</v>
      </c>
    </row>
    <row r="13" customFormat="false" ht="15" hidden="false" customHeight="false" outlineLevel="0" collapsed="false">
      <c r="A13" s="4" t="s">
        <v>120</v>
      </c>
      <c r="B13" s="5" t="n">
        <v>20</v>
      </c>
      <c r="C13" s="10" t="n">
        <v>40</v>
      </c>
      <c r="D13" s="5"/>
      <c r="E13" s="5"/>
      <c r="F13" s="5" t="s">
        <v>119</v>
      </c>
    </row>
    <row r="14" customFormat="false" ht="28.35" hidden="false" customHeight="false" outlineLevel="0" collapsed="false">
      <c r="A14" s="4" t="s">
        <v>121</v>
      </c>
      <c r="B14" s="5" t="n">
        <v>30</v>
      </c>
      <c r="C14" s="10" t="n">
        <v>60</v>
      </c>
      <c r="D14" s="5"/>
      <c r="E14" s="5"/>
      <c r="F14" s="5" t="s">
        <v>122</v>
      </c>
    </row>
    <row r="16" customFormat="false" ht="15" hidden="false" customHeight="false" outlineLevel="0" collapsed="false">
      <c r="A16" s="18" t="s">
        <v>123</v>
      </c>
      <c r="B16" s="18"/>
      <c r="C16" s="18"/>
      <c r="D16" s="18"/>
      <c r="E16" s="18"/>
      <c r="F16" s="18"/>
    </row>
  </sheetData>
  <mergeCells count="1"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74"/>
  </cols>
  <sheetData>
    <row r="2" customFormat="false" ht="31.5" hidden="false" customHeight="true" outlineLevel="0" collapsed="false">
      <c r="A2" s="3" t="s">
        <v>124</v>
      </c>
      <c r="B2" s="3" t="s">
        <v>125</v>
      </c>
      <c r="C2" s="3" t="s">
        <v>126</v>
      </c>
    </row>
    <row r="3" customFormat="false" ht="61.5" hidden="false" customHeight="true" outlineLevel="0" collapsed="false">
      <c r="A3" s="4" t="s">
        <v>127</v>
      </c>
      <c r="B3" s="5" t="s">
        <v>128</v>
      </c>
      <c r="C3" s="5" t="s">
        <v>129</v>
      </c>
    </row>
    <row r="4" customFormat="false" ht="61.5" hidden="false" customHeight="true" outlineLevel="0" collapsed="false">
      <c r="A4" s="4" t="s">
        <v>130</v>
      </c>
      <c r="B4" s="5" t="s">
        <v>131</v>
      </c>
      <c r="C4" s="5" t="s">
        <v>132</v>
      </c>
    </row>
    <row r="5" customFormat="false" ht="61.5" hidden="false" customHeight="true" outlineLevel="0" collapsed="false">
      <c r="A5" s="4" t="s">
        <v>133</v>
      </c>
      <c r="B5" s="5" t="s">
        <v>134</v>
      </c>
      <c r="C5" s="5" t="s">
        <v>135</v>
      </c>
    </row>
    <row r="6" customFormat="false" ht="61.5" hidden="false" customHeight="true" outlineLevel="0" collapsed="false">
      <c r="A6" s="4" t="s">
        <v>136</v>
      </c>
      <c r="B6" s="5" t="s">
        <v>137</v>
      </c>
      <c r="C6" s="5" t="s">
        <v>138</v>
      </c>
    </row>
    <row r="7" customFormat="false" ht="61.5" hidden="false" customHeight="true" outlineLevel="0" collapsed="false">
      <c r="A7" s="4" t="s">
        <v>139</v>
      </c>
      <c r="B7" s="5" t="s">
        <v>140</v>
      </c>
      <c r="C7" s="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2" customFormat="false" ht="31.5" hidden="false" customHeight="true" outlineLevel="0" collapsed="false">
      <c r="A2" s="3" t="s">
        <v>142</v>
      </c>
      <c r="B2" s="3" t="s">
        <v>143</v>
      </c>
    </row>
    <row r="3" customFormat="false" ht="45.75" hidden="false" customHeight="true" outlineLevel="0" collapsed="false">
      <c r="A3" s="19" t="s">
        <v>144</v>
      </c>
      <c r="B3" s="5" t="s">
        <v>145</v>
      </c>
    </row>
    <row r="4" customFormat="false" ht="45.75" hidden="false" customHeight="true" outlineLevel="0" collapsed="false">
      <c r="A4" s="19" t="s">
        <v>146</v>
      </c>
      <c r="B4" s="5" t="s">
        <v>147</v>
      </c>
    </row>
    <row r="5" customFormat="false" ht="45.75" hidden="false" customHeight="true" outlineLevel="0" collapsed="false">
      <c r="A5" s="19" t="s">
        <v>46</v>
      </c>
      <c r="B5" s="5" t="s">
        <v>148</v>
      </c>
    </row>
    <row r="6" customFormat="false" ht="45.75" hidden="false" customHeight="true" outlineLevel="0" collapsed="false">
      <c r="A6" s="19" t="s">
        <v>149</v>
      </c>
      <c r="B6" s="5" t="s">
        <v>150</v>
      </c>
    </row>
    <row r="7" customFormat="false" ht="45.75" hidden="false" customHeight="true" outlineLevel="0" collapsed="false">
      <c r="A7" s="19" t="s">
        <v>151</v>
      </c>
      <c r="B7" s="5" t="s">
        <v>152</v>
      </c>
    </row>
    <row r="8" customFormat="false" ht="45.75" hidden="false" customHeight="true" outlineLevel="0" collapsed="false">
      <c r="A8" s="19" t="s">
        <v>153</v>
      </c>
      <c r="B8" s="5" t="s">
        <v>154</v>
      </c>
    </row>
    <row r="9" customFormat="false" ht="45.75" hidden="false" customHeight="true" outlineLevel="0" collapsed="false">
      <c r="A9" s="19" t="s">
        <v>155</v>
      </c>
      <c r="B9" s="5" t="s">
        <v>156</v>
      </c>
    </row>
    <row r="10" customFormat="false" ht="45.75" hidden="false" customHeight="true" outlineLevel="0" collapsed="false">
      <c r="A10" s="19" t="s">
        <v>157</v>
      </c>
      <c r="B10" s="5" t="s">
        <v>158</v>
      </c>
    </row>
    <row r="11" customFormat="false" ht="45.75" hidden="false" customHeight="true" outlineLevel="0" collapsed="false">
      <c r="A11" s="19" t="s">
        <v>159</v>
      </c>
      <c r="B11" s="5" t="s">
        <v>160</v>
      </c>
    </row>
    <row r="12" customFormat="false" ht="45.75" hidden="false" customHeight="true" outlineLevel="0" collapsed="false">
      <c r="A12" s="19" t="s">
        <v>161</v>
      </c>
      <c r="B12" s="5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2026-10-05T14:15:22Z</dcterms:created>
  <dc:creator>openpyxl</dc:creator>
  <dc:description/>
  <dc:language>en-US</dc:language>
  <cp:lastModifiedBy/>
  <dcterms:modified xsi:type="dcterms:W3CDTF">2026-10-05T14:15:22Z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